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rschungsbaum" sheetId="1" r:id="rId4"/>
    <sheet state="visible" name="Übersicht" sheetId="2" r:id="rId5"/>
    <sheet state="visible" name="Status-Optionen" sheetId="3" r:id="rId6"/>
  </sheets>
  <definedNames/>
  <calcPr/>
</workbook>
</file>

<file path=xl/sharedStrings.xml><?xml version="1.0" encoding="utf-8"?>
<sst xmlns="http://schemas.openxmlformats.org/spreadsheetml/2006/main" count="248" uniqueCount="126">
  <si>
    <t>Zweig</t>
  </si>
  <si>
    <t>Katzenburg-Name</t>
  </si>
  <si>
    <t>Arbeitstitel</t>
  </si>
  <si>
    <t>Kosten Gold</t>
  </si>
  <si>
    <t>Voraussetzung</t>
  </si>
  <si>
    <t>Effekt / Beschreibung</t>
  </si>
  <si>
    <t>Code-Auswirkung</t>
  </si>
  <si>
    <t>Priorität</t>
  </si>
  <si>
    <t>Status</t>
  </si>
  <si>
    <t>Notizen</t>
  </si>
  <si>
    <t xml:space="preserve">Optische Veränderung </t>
  </si>
  <si>
    <t>Wirtschaft</t>
  </si>
  <si>
    <t>Fischmeister-Rezepturen</t>
  </si>
  <si>
    <t>Verbesserte Fischküchen</t>
  </si>
  <si>
    <t>Werkstatt vorhanden</t>
  </si>
  <si>
    <t>Fischküchen geben +0.5 Einkommen.</t>
  </si>
  <si>
    <t>types.fish.income +0.5 oder Tech-Bonus in getBuildingIncomeForPlayer()</t>
  </si>
  <si>
    <t>Hoch</t>
  </si>
  <si>
    <t>Vorschlag</t>
  </si>
  <si>
    <t>Goldene spitze auf dem Dach</t>
  </si>
  <si>
    <t>Ja</t>
  </si>
  <si>
    <t>Kornspeicher-Organisation</t>
  </si>
  <si>
    <t>Kornspeicher geben +0.8 Einkommen.</t>
  </si>
  <si>
    <t>types.granary.income +0.8 oder Tech-Bonus</t>
  </si>
  <si>
    <t>Katzenminze-Handel</t>
  </si>
  <si>
    <t>Katzenminze gibt zusätzlich +1 Einkommen.</t>
  </si>
  <si>
    <t>types.catmint.income +1</t>
  </si>
  <si>
    <t>Mittel</t>
  </si>
  <si>
    <t>Optional</t>
  </si>
  <si>
    <t>Effiziente Baukolonnen</t>
  </si>
  <si>
    <t>Gebäude kosten 25% weniger.</t>
  </si>
  <si>
    <t>build cost multiplier 0.75, Waffen evtl. ausgenommen</t>
  </si>
  <si>
    <t>Königliche Steuerpfoten</t>
  </si>
  <si>
    <t>Grund-Einkommen +1.5 pro Runde.</t>
  </si>
  <si>
    <t>BASE_INCOME tech bonus +1.5</t>
  </si>
  <si>
    <t>Niedrig</t>
  </si>
  <si>
    <t>Später</t>
  </si>
  <si>
    <t>Verteidigung</t>
  </si>
  <si>
    <t>Pfotenfester Mörtel</t>
  </si>
  <si>
    <t>Verdichteter Mörtel</t>
  </si>
  <si>
    <t>Mauerblöcke bekommen +1 max HP.</t>
  </si>
  <si>
    <t>neue 1x1-Mauern maxHp +1; optional bestehende Mauern +1</t>
  </si>
  <si>
    <t>Verstärkte Zinnen</t>
  </si>
  <si>
    <t>Türme bekommen +15 HP.</t>
  </si>
  <si>
    <t>tower / weapon_tower maxHp +15</t>
  </si>
  <si>
    <t>Reparaturtrupps</t>
  </si>
  <si>
    <t>Mauerreparatur kostet 20% weniger.</t>
  </si>
  <si>
    <t>WALL_REPAIR_COST_PER_HP * 0.8</t>
  </si>
  <si>
    <t>Steinmetzkunst</t>
  </si>
  <si>
    <t>Neu gebaute Mauern starten mit +2 HP.</t>
  </si>
  <si>
    <t>wall maxHp +2 / hp +2 beim Bau</t>
  </si>
  <si>
    <t xml:space="preserve">Mauer Stufe 2 Design </t>
  </si>
  <si>
    <t>Bastionsbau</t>
  </si>
  <si>
    <t>Waffentürme bekommen +25 HP.</t>
  </si>
  <si>
    <t>weapon_tower maxHp +25</t>
  </si>
  <si>
    <t>Belagerungswaffen</t>
  </si>
  <si>
    <t>Donnerkraut-Mischung</t>
  </si>
  <si>
    <t>Besseres Schwarzpulver</t>
  </si>
  <si>
    <t>Kanone verursacht +1 Schaden gegen Mauern.</t>
  </si>
  <si>
    <t>impactDamageForBlock() +1 bei wall</t>
  </si>
  <si>
    <t>Verstärkte Lafette</t>
  </si>
  <si>
    <t>Kanone hat stabilere Flugbahn / weniger Streuung.</t>
  </si>
  <si>
    <t>später: recoil/spread reduzieren; aktuell Zielgefühl verbessern</t>
  </si>
  <si>
    <t>Kratzspuren-Zielmarken</t>
  </si>
  <si>
    <t>Präzise Zielmarkierungen</t>
  </si>
  <si>
    <t>Fadenkreuz / Zielhilfe wird genauer.</t>
  </si>
  <si>
    <t>UI-Hilfe / längere Zielmarkierung</t>
  </si>
  <si>
    <t>Schnurrendes Gegengewicht</t>
  </si>
  <si>
    <t>Gegengewichts-Tuning</t>
  </si>
  <si>
    <t>Katapult bekommt +8% Reichweite.</t>
  </si>
  <si>
    <t>weaponTypes.firecatapult.speedMul * 1.08</t>
  </si>
  <si>
    <t>Belagerungsmeister</t>
  </si>
  <si>
    <t>Donnerkraut-Mischung + Schnurrendes Gegengewicht</t>
  </si>
  <si>
    <t>Kanone und Katapult erhalten starken Spätspiel-Bonus.</t>
  </si>
  <si>
    <t>kombinierter Waffenbonus, noch zu balancieren</t>
  </si>
  <si>
    <t>Feuer &amp; Alchemie</t>
  </si>
  <si>
    <t>Brennende Wollknäuel</t>
  </si>
  <si>
    <t>Harzgetränkte Kugeln</t>
  </si>
  <si>
    <t>Feuerflächen halten +1 Runde.</t>
  </si>
  <si>
    <t>GROUND_FIRE_TURNS +1 bei Feuerkatapult</t>
  </si>
  <si>
    <t>Glutkerne</t>
  </si>
  <si>
    <t>Innerer Feuerbereich verursacht +1 Schaden.</t>
  </si>
  <si>
    <t>GROUND_FIRE_DAMAGE +1 im innerRadius</t>
  </si>
  <si>
    <t>Rauchende Treffer</t>
  </si>
  <si>
    <t>Einschlagsrauch dichter / kurz sichtbehindernd.</t>
  </si>
  <si>
    <t>devFX.smoke Bonus / Partikelanzahl erhöhen</t>
  </si>
  <si>
    <t>Alchemistische Katzenminze</t>
  </si>
  <si>
    <t>Brandchance auf Gebäude erhöht.</t>
  </si>
  <si>
    <t>igniteBlock chance / Feuer-Radius-Bonus</t>
  </si>
  <si>
    <t>Inferno-Mischung</t>
  </si>
  <si>
    <t>Feuerkatapult erzeugt größere Brandzone.</t>
  </si>
  <si>
    <t>GROUND_FIRE_RADIUS +X</t>
  </si>
  <si>
    <t>Technik &amp; Präzision</t>
  </si>
  <si>
    <t>Kartografenpfoten</t>
  </si>
  <si>
    <t>Vermessungspfoten</t>
  </si>
  <si>
    <t>Baugitter / Snap-Anzeige wird klarer.</t>
  </si>
  <si>
    <t>Build-UI: bessere Raster-/Reichweitenanzeige</t>
  </si>
  <si>
    <t>Kratzspuren-Ballistik</t>
  </si>
  <si>
    <t>Ballistische Tabellen</t>
  </si>
  <si>
    <t>Flugbahn-Vorschau wird länger/heller.</t>
  </si>
  <si>
    <t>Trajectory preview / Zielhilfe ausbauen</t>
  </si>
  <si>
    <t>Späherkatzen</t>
  </si>
  <si>
    <t>Trefferkamera zeigt Einschlagsbereich besser.</t>
  </si>
  <si>
    <t>HitCam-Offset/Zoom optimieren</t>
  </si>
  <si>
    <t>Mechanische Kurbeln</t>
  </si>
  <si>
    <t>Kamera-/Waffensteuerung reagiert feiner.</t>
  </si>
  <si>
    <t>Steuerungs-Smoothing / Stepgrößen optimieren</t>
  </si>
  <si>
    <t>Ingenieursgilde</t>
  </si>
  <si>
    <t>Mechanische Kurbeln + Kratzspuren-Ballistik</t>
  </si>
  <si>
    <t>Schaltet spätere Spezialgebäude und starke Bau-Boni frei.</t>
  </si>
  <si>
    <t>Meta-Tech für spätere Features</t>
  </si>
  <si>
    <t>Katzenburg Forschungsbaum – Übersicht</t>
  </si>
  <si>
    <t>Kennzahl</t>
  </si>
  <si>
    <t>Wert</t>
  </si>
  <si>
    <t>Forschungen gesamt</t>
  </si>
  <si>
    <t>Gesamtkosten Gold</t>
  </si>
  <si>
    <t>Durchschnitt Kosten</t>
  </si>
  <si>
    <t>Hohe Priorität</t>
  </si>
  <si>
    <t>Direkt vorgeschlagen</t>
  </si>
  <si>
    <t>Anzahl</t>
  </si>
  <si>
    <t>Kosten</t>
  </si>
  <si>
    <t>Hinweis</t>
  </si>
  <si>
    <t>Du kannst Kosten, Status, Priorität, Effekte und Notizen direkt bearbeiten und mir die Datei zurückschicken.</t>
  </si>
  <si>
    <t>Geändert</t>
  </si>
  <si>
    <t>Streichen</t>
  </si>
  <si>
    <t>Implementieren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</si>
</sst>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rgb="FF000000"/>
      <name val="Arial"/>
      <scheme val="minor"/>
    </font>
    <font>
      <b/>
      <sz val="11.0"/>
      <color rgb="FFFFFFFF"/>
      <name val="Carlito"/>
    </font>
    <font>
      <sz val="11.0"/>
      <name val="Carlito"/>
    </font>
    <font>
      <b/>
      <sz val="14.0"/>
      <color rgb="FFFFFFFF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1F2937"/>
        <bgColor rgb="FF1F2937"/>
      </patternFill>
    </fill>
    <fill>
      <patternFill patternType="solid">
        <fgColor rgb="FF78350F"/>
        <bgColor rgb="FF78350F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2" fontId="1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readingOrder="0" shrinkToFit="0" vertical="top" wrapText="1"/>
    </xf>
    <xf borderId="0" fillId="0" fontId="2" numFmtId="0" xfId="0" applyAlignment="1" applyFont="1">
      <alignment shrinkToFit="0" vertical="top" wrapText="1"/>
    </xf>
    <xf borderId="0" fillId="3" fontId="3" numFmtId="0" xfId="0" applyAlignment="1" applyFill="1" applyFont="1">
      <alignment horizontal="center" shrinkToFit="0" wrapText="1"/>
    </xf>
    <xf borderId="0" fillId="0" fontId="2" numFmtId="0" xfId="0" applyAlignment="1" applyFont="1">
      <alignment shrinkToFit="0" wrapText="1"/>
    </xf>
    <xf borderId="0" fillId="2" fontId="1" numFmtId="0" xfId="0" applyAlignment="1" applyFont="1">
      <alignment shrinkToFit="0" wrapText="1"/>
    </xf>
    <xf borderId="0" fillId="2" fontId="1" numFmtId="0" xfId="0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none"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none"/>
      </fill>
      <border/>
    </dxf>
  </dxfs>
  <tableStyles count="1">
    <tableStyle count="3" pivot="0" name="Forschungsbaum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K26" displayName="Table_1" name="Table_1" id="1">
  <tableColumns count="11">
    <tableColumn name="Zweig" id="1"/>
    <tableColumn name="Katzenburg-Name" id="2"/>
    <tableColumn name="Arbeitstitel" id="3"/>
    <tableColumn name="Kosten Gold" id="4"/>
    <tableColumn name="Voraussetzung" id="5"/>
    <tableColumn name="Effekt / Beschreibung" id="6"/>
    <tableColumn name="Code-Auswirkung" id="7"/>
    <tableColumn name="Priorität" id="8"/>
    <tableColumn name="Status" id="9"/>
    <tableColumn name="Notizen" id="10"/>
    <tableColumn name="Optische Veränderung " id="11"/>
  </tableColumns>
  <tableStyleInfo name="Forschungsbaum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24.0"/>
    <col customWidth="1" min="3" max="3" width="26.0"/>
    <col customWidth="1" min="4" max="4" width="12.0"/>
    <col customWidth="1" min="5" max="5" width="28.0"/>
    <col customWidth="1" min="6" max="7" width="42.0"/>
    <col customWidth="1" min="8" max="8" width="12.0"/>
    <col customWidth="1" min="9" max="9" width="14.0"/>
    <col customWidth="1" min="10" max="10" width="28.0"/>
    <col customWidth="1" min="11" max="11" width="8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2" t="s">
        <v>10</v>
      </c>
    </row>
    <row r="2" ht="39.75" customHeight="1">
      <c r="A2" s="3" t="s">
        <v>11</v>
      </c>
      <c r="B2" s="3" t="s">
        <v>12</v>
      </c>
      <c r="C2" s="3" t="s">
        <v>13</v>
      </c>
      <c r="D2" s="3">
        <v>25.0</v>
      </c>
      <c r="E2" s="3" t="s">
        <v>14</v>
      </c>
      <c r="F2" s="3" t="s">
        <v>15</v>
      </c>
      <c r="G2" s="3" t="s">
        <v>16</v>
      </c>
      <c r="H2" s="3" t="s">
        <v>17</v>
      </c>
      <c r="I2" s="3" t="s">
        <v>18</v>
      </c>
      <c r="J2" s="4" t="s">
        <v>19</v>
      </c>
      <c r="K2" s="4" t="s">
        <v>20</v>
      </c>
    </row>
    <row r="3" ht="39.75" customHeight="1">
      <c r="A3" s="3" t="s">
        <v>11</v>
      </c>
      <c r="B3" s="3" t="s">
        <v>21</v>
      </c>
      <c r="C3" s="3" t="s">
        <v>21</v>
      </c>
      <c r="D3" s="3">
        <v>35.0</v>
      </c>
      <c r="E3" s="3" t="s">
        <v>12</v>
      </c>
      <c r="F3" s="3" t="s">
        <v>22</v>
      </c>
      <c r="G3" s="3" t="s">
        <v>23</v>
      </c>
      <c r="H3" s="3" t="s">
        <v>17</v>
      </c>
      <c r="I3" s="3" t="s">
        <v>18</v>
      </c>
      <c r="J3" s="4" t="s">
        <v>19</v>
      </c>
      <c r="K3" s="4" t="s">
        <v>20</v>
      </c>
    </row>
    <row r="4" ht="39.75" customHeight="1">
      <c r="A4" s="3" t="s">
        <v>11</v>
      </c>
      <c r="B4" s="3" t="s">
        <v>24</v>
      </c>
      <c r="C4" s="3" t="s">
        <v>24</v>
      </c>
      <c r="D4" s="3">
        <v>45.0</v>
      </c>
      <c r="E4" s="3" t="s">
        <v>21</v>
      </c>
      <c r="F4" s="4" t="s">
        <v>25</v>
      </c>
      <c r="G4" s="4" t="s">
        <v>26</v>
      </c>
      <c r="H4" s="3" t="s">
        <v>27</v>
      </c>
      <c r="I4" s="3" t="s">
        <v>28</v>
      </c>
      <c r="J4" s="4" t="s">
        <v>19</v>
      </c>
      <c r="K4" s="4" t="s">
        <v>20</v>
      </c>
    </row>
    <row r="5" ht="39.75" customHeight="1">
      <c r="A5" s="3" t="s">
        <v>11</v>
      </c>
      <c r="B5" s="3" t="s">
        <v>29</v>
      </c>
      <c r="C5" s="3" t="s">
        <v>29</v>
      </c>
      <c r="D5" s="3">
        <v>55.0</v>
      </c>
      <c r="E5" s="3" t="s">
        <v>24</v>
      </c>
      <c r="F5" s="4" t="s">
        <v>30</v>
      </c>
      <c r="G5" s="4" t="s">
        <v>31</v>
      </c>
      <c r="H5" s="3" t="s">
        <v>27</v>
      </c>
      <c r="I5" s="3" t="s">
        <v>28</v>
      </c>
      <c r="J5" s="3"/>
      <c r="K5" s="5"/>
    </row>
    <row r="6" ht="39.75" customHeight="1">
      <c r="A6" s="3" t="s">
        <v>11</v>
      </c>
      <c r="B6" s="3" t="s">
        <v>32</v>
      </c>
      <c r="C6" s="3" t="s">
        <v>32</v>
      </c>
      <c r="D6" s="3">
        <v>75.0</v>
      </c>
      <c r="E6" s="3" t="s">
        <v>29</v>
      </c>
      <c r="F6" s="4" t="s">
        <v>33</v>
      </c>
      <c r="G6" s="4" t="s">
        <v>34</v>
      </c>
      <c r="H6" s="3" t="s">
        <v>35</v>
      </c>
      <c r="I6" s="3" t="s">
        <v>36</v>
      </c>
      <c r="J6" s="3"/>
      <c r="K6" s="5"/>
    </row>
    <row r="7" ht="39.75" customHeight="1">
      <c r="A7" s="3" t="s">
        <v>37</v>
      </c>
      <c r="B7" s="3" t="s">
        <v>38</v>
      </c>
      <c r="C7" s="3" t="s">
        <v>39</v>
      </c>
      <c r="D7" s="3">
        <v>25.0</v>
      </c>
      <c r="E7" s="3" t="s">
        <v>14</v>
      </c>
      <c r="F7" s="3" t="s">
        <v>40</v>
      </c>
      <c r="G7" s="3" t="s">
        <v>41</v>
      </c>
      <c r="H7" s="3" t="s">
        <v>17</v>
      </c>
      <c r="I7" s="3" t="s">
        <v>18</v>
      </c>
      <c r="J7" s="3"/>
      <c r="K7" s="5"/>
    </row>
    <row r="8" ht="39.75" customHeight="1">
      <c r="A8" s="3" t="s">
        <v>37</v>
      </c>
      <c r="B8" s="3" t="s">
        <v>42</v>
      </c>
      <c r="C8" s="3" t="s">
        <v>42</v>
      </c>
      <c r="D8" s="3">
        <v>35.0</v>
      </c>
      <c r="E8" s="3" t="s">
        <v>38</v>
      </c>
      <c r="F8" s="3" t="s">
        <v>43</v>
      </c>
      <c r="G8" s="3" t="s">
        <v>44</v>
      </c>
      <c r="H8" s="3" t="s">
        <v>27</v>
      </c>
      <c r="I8" s="3" t="s">
        <v>18</v>
      </c>
      <c r="J8" s="3"/>
      <c r="K8" s="5"/>
    </row>
    <row r="9" ht="39.75" customHeight="1">
      <c r="A9" s="3" t="s">
        <v>37</v>
      </c>
      <c r="B9" s="3" t="s">
        <v>45</v>
      </c>
      <c r="C9" s="3" t="s">
        <v>45</v>
      </c>
      <c r="D9" s="3">
        <v>40.0</v>
      </c>
      <c r="E9" s="3" t="s">
        <v>38</v>
      </c>
      <c r="F9" s="3" t="s">
        <v>46</v>
      </c>
      <c r="G9" s="3" t="s">
        <v>47</v>
      </c>
      <c r="H9" s="3" t="s">
        <v>17</v>
      </c>
      <c r="I9" s="3" t="s">
        <v>18</v>
      </c>
      <c r="J9" s="3"/>
      <c r="K9" s="5"/>
    </row>
    <row r="10" ht="39.75" customHeight="1">
      <c r="A10" s="3" t="s">
        <v>37</v>
      </c>
      <c r="B10" s="3" t="s">
        <v>48</v>
      </c>
      <c r="C10" s="3" t="s">
        <v>48</v>
      </c>
      <c r="D10" s="3">
        <v>60.0</v>
      </c>
      <c r="E10" s="3" t="s">
        <v>42</v>
      </c>
      <c r="F10" s="3" t="s">
        <v>49</v>
      </c>
      <c r="G10" s="3" t="s">
        <v>50</v>
      </c>
      <c r="H10" s="3" t="s">
        <v>27</v>
      </c>
      <c r="I10" s="3" t="s">
        <v>28</v>
      </c>
      <c r="J10" s="4" t="s">
        <v>51</v>
      </c>
      <c r="K10" s="4" t="s">
        <v>20</v>
      </c>
    </row>
    <row r="11" ht="39.75" customHeight="1">
      <c r="A11" s="3" t="s">
        <v>37</v>
      </c>
      <c r="B11" s="3" t="s">
        <v>52</v>
      </c>
      <c r="C11" s="3" t="s">
        <v>52</v>
      </c>
      <c r="D11" s="3">
        <v>80.0</v>
      </c>
      <c r="E11" s="3" t="s">
        <v>48</v>
      </c>
      <c r="F11" s="3" t="s">
        <v>53</v>
      </c>
      <c r="G11" s="3" t="s">
        <v>54</v>
      </c>
      <c r="H11" s="3" t="s">
        <v>35</v>
      </c>
      <c r="I11" s="3" t="s">
        <v>36</v>
      </c>
      <c r="J11" s="3"/>
      <c r="K11" s="5"/>
    </row>
    <row r="12" ht="39.75" customHeight="1">
      <c r="A12" s="3" t="s">
        <v>55</v>
      </c>
      <c r="B12" s="3" t="s">
        <v>56</v>
      </c>
      <c r="C12" s="3" t="s">
        <v>57</v>
      </c>
      <c r="D12" s="3">
        <v>35.0</v>
      </c>
      <c r="E12" s="3" t="s">
        <v>14</v>
      </c>
      <c r="F12" s="3" t="s">
        <v>58</v>
      </c>
      <c r="G12" s="3" t="s">
        <v>59</v>
      </c>
      <c r="H12" s="3" t="s">
        <v>17</v>
      </c>
      <c r="I12" s="3" t="s">
        <v>18</v>
      </c>
      <c r="J12" s="3"/>
      <c r="K12" s="5"/>
    </row>
    <row r="13" ht="39.75" customHeight="1">
      <c r="A13" s="3" t="s">
        <v>55</v>
      </c>
      <c r="B13" s="3" t="s">
        <v>60</v>
      </c>
      <c r="C13" s="3" t="s">
        <v>60</v>
      </c>
      <c r="D13" s="3">
        <v>40.0</v>
      </c>
      <c r="E13" s="3" t="s">
        <v>56</v>
      </c>
      <c r="F13" s="3" t="s">
        <v>61</v>
      </c>
      <c r="G13" s="3" t="s">
        <v>62</v>
      </c>
      <c r="H13" s="3" t="s">
        <v>27</v>
      </c>
      <c r="I13" s="3" t="s">
        <v>28</v>
      </c>
      <c r="J13" s="3"/>
      <c r="K13" s="5"/>
    </row>
    <row r="14" ht="39.75" customHeight="1">
      <c r="A14" s="3" t="s">
        <v>55</v>
      </c>
      <c r="B14" s="3" t="s">
        <v>63</v>
      </c>
      <c r="C14" s="3" t="s">
        <v>64</v>
      </c>
      <c r="D14" s="3">
        <v>45.0</v>
      </c>
      <c r="E14" s="3" t="s">
        <v>60</v>
      </c>
      <c r="F14" s="3" t="s">
        <v>65</v>
      </c>
      <c r="G14" s="3" t="s">
        <v>66</v>
      </c>
      <c r="H14" s="3" t="s">
        <v>27</v>
      </c>
      <c r="I14" s="3" t="s">
        <v>28</v>
      </c>
      <c r="J14" s="3"/>
      <c r="K14" s="5"/>
    </row>
    <row r="15" ht="39.75" customHeight="1">
      <c r="A15" s="3" t="s">
        <v>55</v>
      </c>
      <c r="B15" s="3" t="s">
        <v>67</v>
      </c>
      <c r="C15" s="3" t="s">
        <v>68</v>
      </c>
      <c r="D15" s="3">
        <v>45.0</v>
      </c>
      <c r="E15" s="3" t="s">
        <v>14</v>
      </c>
      <c r="F15" s="3" t="s">
        <v>69</v>
      </c>
      <c r="G15" s="3" t="s">
        <v>70</v>
      </c>
      <c r="H15" s="3" t="s">
        <v>17</v>
      </c>
      <c r="I15" s="3" t="s">
        <v>18</v>
      </c>
      <c r="J15" s="3"/>
      <c r="K15" s="5"/>
    </row>
    <row r="16" ht="39.75" customHeight="1">
      <c r="A16" s="3" t="s">
        <v>55</v>
      </c>
      <c r="B16" s="3" t="s">
        <v>71</v>
      </c>
      <c r="C16" s="3" t="s">
        <v>71</v>
      </c>
      <c r="D16" s="3">
        <v>90.0</v>
      </c>
      <c r="E16" s="3" t="s">
        <v>72</v>
      </c>
      <c r="F16" s="3" t="s">
        <v>73</v>
      </c>
      <c r="G16" s="3" t="s">
        <v>74</v>
      </c>
      <c r="H16" s="3" t="s">
        <v>35</v>
      </c>
      <c r="I16" s="3" t="s">
        <v>36</v>
      </c>
      <c r="J16" s="3"/>
      <c r="K16" s="5"/>
    </row>
    <row r="17" ht="39.75" customHeight="1">
      <c r="A17" s="3" t="s">
        <v>75</v>
      </c>
      <c r="B17" s="3" t="s">
        <v>76</v>
      </c>
      <c r="C17" s="3" t="s">
        <v>77</v>
      </c>
      <c r="D17" s="3">
        <v>35.0</v>
      </c>
      <c r="E17" s="3" t="s">
        <v>14</v>
      </c>
      <c r="F17" s="3" t="s">
        <v>78</v>
      </c>
      <c r="G17" s="3" t="s">
        <v>79</v>
      </c>
      <c r="H17" s="3" t="s">
        <v>17</v>
      </c>
      <c r="I17" s="3" t="s">
        <v>18</v>
      </c>
      <c r="J17" s="3"/>
      <c r="K17" s="5"/>
    </row>
    <row r="18" ht="39.75" customHeight="1">
      <c r="A18" s="3" t="s">
        <v>75</v>
      </c>
      <c r="B18" s="3" t="s">
        <v>80</v>
      </c>
      <c r="C18" s="3" t="s">
        <v>80</v>
      </c>
      <c r="D18" s="3">
        <v>45.0</v>
      </c>
      <c r="E18" s="3" t="s">
        <v>76</v>
      </c>
      <c r="F18" s="3" t="s">
        <v>81</v>
      </c>
      <c r="G18" s="3" t="s">
        <v>82</v>
      </c>
      <c r="H18" s="3" t="s">
        <v>17</v>
      </c>
      <c r="I18" s="3" t="s">
        <v>18</v>
      </c>
      <c r="J18" s="3"/>
      <c r="K18" s="5"/>
    </row>
    <row r="19" ht="39.75" customHeight="1">
      <c r="A19" s="3" t="s">
        <v>75</v>
      </c>
      <c r="B19" s="3" t="s">
        <v>83</v>
      </c>
      <c r="C19" s="3" t="s">
        <v>83</v>
      </c>
      <c r="D19" s="3">
        <v>35.0</v>
      </c>
      <c r="E19" s="3" t="s">
        <v>76</v>
      </c>
      <c r="F19" s="3" t="s">
        <v>84</v>
      </c>
      <c r="G19" s="3" t="s">
        <v>85</v>
      </c>
      <c r="H19" s="3" t="s">
        <v>27</v>
      </c>
      <c r="I19" s="3" t="s">
        <v>28</v>
      </c>
      <c r="J19" s="3"/>
      <c r="K19" s="5"/>
    </row>
    <row r="20" ht="39.75" customHeight="1">
      <c r="A20" s="3" t="s">
        <v>75</v>
      </c>
      <c r="B20" s="3" t="s">
        <v>86</v>
      </c>
      <c r="C20" s="3" t="s">
        <v>86</v>
      </c>
      <c r="D20" s="3">
        <v>60.0</v>
      </c>
      <c r="E20" s="3" t="s">
        <v>80</v>
      </c>
      <c r="F20" s="3" t="s">
        <v>87</v>
      </c>
      <c r="G20" s="3" t="s">
        <v>88</v>
      </c>
      <c r="H20" s="3" t="s">
        <v>27</v>
      </c>
      <c r="I20" s="3" t="s">
        <v>28</v>
      </c>
      <c r="J20" s="3"/>
      <c r="K20" s="5"/>
    </row>
    <row r="21" ht="39.75" customHeight="1">
      <c r="A21" s="3" t="s">
        <v>75</v>
      </c>
      <c r="B21" s="3" t="s">
        <v>89</v>
      </c>
      <c r="C21" s="3" t="s">
        <v>89</v>
      </c>
      <c r="D21" s="3">
        <v>100.0</v>
      </c>
      <c r="E21" s="3" t="s">
        <v>86</v>
      </c>
      <c r="F21" s="3" t="s">
        <v>90</v>
      </c>
      <c r="G21" s="3" t="s">
        <v>91</v>
      </c>
      <c r="H21" s="3" t="s">
        <v>35</v>
      </c>
      <c r="I21" s="3" t="s">
        <v>36</v>
      </c>
      <c r="J21" s="3"/>
      <c r="K21" s="5"/>
    </row>
    <row r="22" ht="39.75" customHeight="1">
      <c r="A22" s="3" t="s">
        <v>92</v>
      </c>
      <c r="B22" s="3" t="s">
        <v>93</v>
      </c>
      <c r="C22" s="3" t="s">
        <v>94</v>
      </c>
      <c r="D22" s="3">
        <v>20.0</v>
      </c>
      <c r="E22" s="3" t="s">
        <v>14</v>
      </c>
      <c r="F22" s="3" t="s">
        <v>95</v>
      </c>
      <c r="G22" s="3" t="s">
        <v>96</v>
      </c>
      <c r="H22" s="3" t="s">
        <v>17</v>
      </c>
      <c r="I22" s="3" t="s">
        <v>18</v>
      </c>
      <c r="J22" s="3"/>
      <c r="K22" s="5"/>
    </row>
    <row r="23" ht="39.75" customHeight="1">
      <c r="A23" s="3" t="s">
        <v>92</v>
      </c>
      <c r="B23" s="3" t="s">
        <v>97</v>
      </c>
      <c r="C23" s="3" t="s">
        <v>98</v>
      </c>
      <c r="D23" s="3">
        <v>35.0</v>
      </c>
      <c r="E23" s="3" t="s">
        <v>93</v>
      </c>
      <c r="F23" s="3" t="s">
        <v>99</v>
      </c>
      <c r="G23" s="3" t="s">
        <v>100</v>
      </c>
      <c r="H23" s="3" t="s">
        <v>17</v>
      </c>
      <c r="I23" s="3" t="s">
        <v>18</v>
      </c>
      <c r="J23" s="3"/>
      <c r="K23" s="5"/>
    </row>
    <row r="24" ht="39.75" customHeight="1">
      <c r="A24" s="3" t="s">
        <v>92</v>
      </c>
      <c r="B24" s="3" t="s">
        <v>101</v>
      </c>
      <c r="C24" s="3" t="s">
        <v>101</v>
      </c>
      <c r="D24" s="3">
        <v>45.0</v>
      </c>
      <c r="E24" s="3" t="s">
        <v>97</v>
      </c>
      <c r="F24" s="3" t="s">
        <v>102</v>
      </c>
      <c r="G24" s="3" t="s">
        <v>103</v>
      </c>
      <c r="H24" s="3" t="s">
        <v>27</v>
      </c>
      <c r="I24" s="3" t="s">
        <v>28</v>
      </c>
      <c r="J24" s="3"/>
      <c r="K24" s="5"/>
    </row>
    <row r="25" ht="39.75" customHeight="1">
      <c r="A25" s="3" t="s">
        <v>92</v>
      </c>
      <c r="B25" s="3" t="s">
        <v>104</v>
      </c>
      <c r="C25" s="3" t="s">
        <v>104</v>
      </c>
      <c r="D25" s="3">
        <v>40.0</v>
      </c>
      <c r="E25" s="3" t="s">
        <v>93</v>
      </c>
      <c r="F25" s="3" t="s">
        <v>105</v>
      </c>
      <c r="G25" s="3" t="s">
        <v>106</v>
      </c>
      <c r="H25" s="3" t="s">
        <v>27</v>
      </c>
      <c r="I25" s="3" t="s">
        <v>28</v>
      </c>
      <c r="J25" s="3"/>
      <c r="K25" s="5"/>
    </row>
    <row r="26" ht="39.75" customHeight="1">
      <c r="A26" s="3" t="s">
        <v>92</v>
      </c>
      <c r="B26" s="3" t="s">
        <v>107</v>
      </c>
      <c r="C26" s="3" t="s">
        <v>107</v>
      </c>
      <c r="D26" s="3">
        <v>85.0</v>
      </c>
      <c r="E26" s="3" t="s">
        <v>108</v>
      </c>
      <c r="F26" s="3" t="s">
        <v>109</v>
      </c>
      <c r="G26" s="3" t="s">
        <v>110</v>
      </c>
      <c r="H26" s="3" t="s">
        <v>35</v>
      </c>
      <c r="I26" s="3" t="s">
        <v>36</v>
      </c>
      <c r="J26" s="3"/>
      <c r="K26" s="5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dataValidations>
    <dataValidation type="list" allowBlank="1" sqref="I2:I26">
      <formula1>"Vorschlag,Optional,Später,Geändert,Streichen,Implementieren"</formula1>
    </dataValidation>
    <dataValidation type="list" allowBlank="1" sqref="H2:H26">
      <formula1>"Hoch,Mittel,Niedrig"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0"/>
    <col customWidth="1" min="2" max="2" width="18.0"/>
    <col customWidth="1" min="3" max="3" width="16.0"/>
    <col customWidth="1" min="4" max="4" width="22.0"/>
    <col customWidth="1" min="5" max="11" width="8.71"/>
  </cols>
  <sheetData>
    <row r="1">
      <c r="A1" s="6" t="s">
        <v>111</v>
      </c>
      <c r="B1" s="6"/>
      <c r="C1" s="6"/>
      <c r="D1" s="6"/>
    </row>
    <row r="2">
      <c r="A2" s="7"/>
      <c r="B2" s="7"/>
      <c r="C2" s="7"/>
      <c r="D2" s="7"/>
    </row>
    <row r="3">
      <c r="A3" s="8" t="s">
        <v>112</v>
      </c>
      <c r="B3" s="8" t="s">
        <v>113</v>
      </c>
      <c r="C3" s="7"/>
      <c r="D3" s="7"/>
    </row>
    <row r="4">
      <c r="A4" s="7" t="s">
        <v>114</v>
      </c>
      <c r="B4" s="7" t="str">
        <f>COUNTA(Forschungsbaum!B2:B26)</f>
        <v>25</v>
      </c>
      <c r="C4" s="7"/>
      <c r="D4" s="7"/>
    </row>
    <row r="5">
      <c r="A5" s="7" t="s">
        <v>115</v>
      </c>
      <c r="B5" s="7" t="str">
        <f>SUM(Forschungsbaum!D2:D26)</f>
        <v>1230</v>
      </c>
      <c r="C5" s="7"/>
      <c r="D5" s="7"/>
    </row>
    <row r="6">
      <c r="A6" s="7" t="s">
        <v>116</v>
      </c>
      <c r="B6" s="7" t="str">
        <f>AVERAGE(Forschungsbaum!D2:D26)</f>
        <v>49.2</v>
      </c>
      <c r="C6" s="7"/>
      <c r="D6" s="7"/>
    </row>
    <row r="7">
      <c r="A7" s="7" t="s">
        <v>117</v>
      </c>
      <c r="B7" s="7" t="str">
        <f>COUNTIF(Forschungsbaum!H2:H26,"Hoch")</f>
        <v>10</v>
      </c>
      <c r="C7" s="7"/>
      <c r="D7" s="7"/>
    </row>
    <row r="8">
      <c r="A8" s="7" t="s">
        <v>118</v>
      </c>
      <c r="B8" s="7" t="str">
        <f>COUNTIF(Forschungsbaum!I2:I26,"Vorschlag")</f>
        <v>11</v>
      </c>
      <c r="C8" s="7"/>
      <c r="D8" s="7"/>
    </row>
    <row r="9">
      <c r="A9" s="7"/>
      <c r="B9" s="7"/>
      <c r="C9" s="7"/>
      <c r="D9" s="7"/>
    </row>
    <row r="10">
      <c r="A10" s="8" t="s">
        <v>0</v>
      </c>
      <c r="B10" s="8" t="s">
        <v>119</v>
      </c>
      <c r="C10" s="8" t="s">
        <v>120</v>
      </c>
      <c r="D10" s="7"/>
    </row>
    <row r="11">
      <c r="A11" s="7" t="s">
        <v>11</v>
      </c>
      <c r="B11" s="7" t="str">
        <f>COUNTIF(Forschungsbaum!A2:A26,A11)</f>
        <v>5</v>
      </c>
      <c r="C11" s="7" t="str">
        <f>SUMIF(Forschungsbaum!A2:A26,A11,Forschungsbaum!D2:D26)</f>
        <v>235</v>
      </c>
      <c r="D11" s="7"/>
    </row>
    <row r="12">
      <c r="A12" s="7" t="s">
        <v>37</v>
      </c>
      <c r="B12" s="7" t="str">
        <f>COUNTIF(Forschungsbaum!A2:A26,A12)</f>
        <v>5</v>
      </c>
      <c r="C12" s="7" t="str">
        <f>SUMIF(Forschungsbaum!A2:A26,A12,Forschungsbaum!D2:D26)</f>
        <v>240</v>
      </c>
      <c r="D12" s="7"/>
    </row>
    <row r="13">
      <c r="A13" s="7" t="s">
        <v>55</v>
      </c>
      <c r="B13" s="7" t="str">
        <f>COUNTIF(Forschungsbaum!A2:A26,A13)</f>
        <v>5</v>
      </c>
      <c r="C13" s="7" t="str">
        <f>SUMIF(Forschungsbaum!A2:A26,A13,Forschungsbaum!D2:D26)</f>
        <v>255</v>
      </c>
      <c r="D13" s="7"/>
    </row>
    <row r="14">
      <c r="A14" s="7" t="s">
        <v>75</v>
      </c>
      <c r="B14" s="7" t="str">
        <f>COUNTIF(Forschungsbaum!A2:A26,A14)</f>
        <v>5</v>
      </c>
      <c r="C14" s="7" t="str">
        <f>SUMIF(Forschungsbaum!A2:A26,A14,Forschungsbaum!D2:D26)</f>
        <v>275</v>
      </c>
      <c r="D14" s="7"/>
    </row>
    <row r="15">
      <c r="A15" s="7" t="s">
        <v>92</v>
      </c>
      <c r="B15" s="7" t="str">
        <f>COUNTIF(Forschungsbaum!A2:A26,A15)</f>
        <v>5</v>
      </c>
      <c r="C15" s="7" t="str">
        <f>SUMIF(Forschungsbaum!A2:A26,A15,Forschungsbaum!D2:D26)</f>
        <v>225</v>
      </c>
      <c r="D15" s="7"/>
    </row>
    <row r="16">
      <c r="A16" s="7"/>
      <c r="B16" s="7"/>
      <c r="C16" s="7"/>
      <c r="D16" s="7"/>
    </row>
    <row r="17">
      <c r="A17" s="7" t="s">
        <v>121</v>
      </c>
      <c r="B17" s="7" t="s">
        <v>122</v>
      </c>
      <c r="C17" s="7"/>
      <c r="D17" s="7"/>
    </row>
    <row r="18">
      <c r="A18" s="7"/>
      <c r="B18" s="7"/>
      <c r="C18" s="7"/>
      <c r="D18" s="7"/>
    </row>
    <row r="19">
      <c r="A19" s="7"/>
      <c r="B19" s="7"/>
      <c r="C19" s="7"/>
      <c r="D19" s="7"/>
    </row>
    <row r="20">
      <c r="A20" s="7"/>
      <c r="B20" s="7"/>
      <c r="C20" s="7"/>
      <c r="D20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18.0"/>
    <col customWidth="1" min="3" max="11" width="8.71"/>
  </cols>
  <sheetData>
    <row r="1">
      <c r="A1" s="9" t="s">
        <v>7</v>
      </c>
      <c r="B1" s="9" t="s">
        <v>8</v>
      </c>
    </row>
    <row r="2">
      <c r="A2" t="s">
        <v>17</v>
      </c>
      <c r="B2" t="s">
        <v>18</v>
      </c>
    </row>
    <row r="3">
      <c r="A3" t="s">
        <v>27</v>
      </c>
      <c r="B3" t="s">
        <v>28</v>
      </c>
    </row>
    <row r="4">
      <c r="A4" t="s">
        <v>35</v>
      </c>
      <c r="B4" t="s">
        <v>36</v>
      </c>
    </row>
    <row r="5">
      <c r="B5" t="s">
        <v>123</v>
      </c>
    </row>
    <row r="6">
      <c r="B6" t="s">
        <v>124</v>
      </c>
    </row>
    <row r="7">
      <c r="B7" t="s">
        <v>125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